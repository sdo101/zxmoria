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xnext\projects\poc4uat\"/>
    </mc:Choice>
  </mc:AlternateContent>
  <xr:revisionPtr revIDLastSave="0" documentId="13_ncr:1_{C281DA92-CD3E-46F9-B1CD-8A6B9A3DE531}" xr6:coauthVersionLast="47" xr6:coauthVersionMax="47" xr10:uidLastSave="{00000000-0000-0000-0000-000000000000}"/>
  <bookViews>
    <workbookView xWindow="-120" yWindow="-120" windowWidth="29040" windowHeight="15720" xr2:uid="{943152B2-B847-42AB-B3F7-87D3D4DD1462}"/>
  </bookViews>
  <sheets>
    <sheet name="MMU ma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0" i="3" l="1"/>
  <c r="H47" i="3"/>
  <c r="H49" i="3" s="1"/>
  <c r="N46" i="3"/>
  <c r="N48" i="3" s="1"/>
  <c r="N49" i="3" s="1"/>
  <c r="K46" i="3"/>
  <c r="K48" i="3" s="1"/>
  <c r="K49" i="3" s="1"/>
  <c r="K50" i="3" s="1"/>
  <c r="N24" i="3"/>
  <c r="N26" i="3" s="1"/>
  <c r="K24" i="3"/>
  <c r="K25" i="3" s="1"/>
  <c r="K26" i="3" s="1"/>
  <c r="K28" i="3" s="1"/>
  <c r="K29" i="3" s="1"/>
  <c r="H24" i="3"/>
  <c r="H26" i="3" s="1"/>
  <c r="H27" i="3" s="1"/>
  <c r="N16" i="3"/>
  <c r="N18" i="3" s="1"/>
  <c r="N19" i="3" s="1"/>
  <c r="N34" i="3"/>
  <c r="N36" i="3" s="1"/>
  <c r="N37" i="3" s="1"/>
  <c r="K15" i="3"/>
  <c r="K17" i="3" s="1"/>
  <c r="K18" i="3" s="1"/>
  <c r="H15" i="3"/>
  <c r="H17" i="3" s="1"/>
  <c r="H18" i="3" s="1"/>
  <c r="T9" i="3"/>
  <c r="T13" i="3" s="1"/>
  <c r="T8" i="3"/>
  <c r="Q7" i="3"/>
  <c r="Q9" i="3" s="1"/>
  <c r="N7" i="3"/>
  <c r="N9" i="3" s="1"/>
  <c r="N10" i="3" s="1"/>
  <c r="T6" i="3"/>
  <c r="K34" i="3"/>
  <c r="K36" i="3" s="1"/>
  <c r="K37" i="3" s="1"/>
  <c r="K6" i="3"/>
  <c r="K8" i="3" s="1"/>
  <c r="K9" i="3" s="1"/>
  <c r="H6" i="3"/>
  <c r="H8" i="3" s="1"/>
  <c r="H9" i="3" s="1"/>
  <c r="K40" i="3" l="1"/>
  <c r="H40" i="3"/>
  <c r="T10" i="3"/>
  <c r="T19" i="3"/>
  <c r="T18" i="3"/>
  <c r="T12" i="3"/>
  <c r="T14" i="3" s="1"/>
  <c r="Q13" i="3"/>
  <c r="Q14" i="3" s="1"/>
  <c r="Q40" i="3" l="1"/>
</calcChain>
</file>

<file path=xl/sharedStrings.xml><?xml version="1.0" encoding="utf-8"?>
<sst xmlns="http://schemas.openxmlformats.org/spreadsheetml/2006/main" count="206" uniqueCount="108">
  <si>
    <t>FUTURE</t>
  </si>
  <si>
    <t>MMU</t>
  </si>
  <si>
    <t>core, or</t>
  </si>
  <si>
    <t>paged</t>
  </si>
  <si>
    <t>usage</t>
  </si>
  <si>
    <t>MMU7</t>
  </si>
  <si>
    <t>core</t>
  </si>
  <si>
    <t>code</t>
  </si>
  <si>
    <t>DUNGEON MONSTERS</t>
  </si>
  <si>
    <t>DUNGEON ITEMS</t>
  </si>
  <si>
    <t>CREATURES DB</t>
  </si>
  <si>
    <t>DUNGEON MAP</t>
  </si>
  <si>
    <t>SCREEN CELLS</t>
  </si>
  <si>
    <t>MINI MAP</t>
  </si>
  <si>
    <t>bytes per entry</t>
  </si>
  <si>
    <t>bytes per floor</t>
  </si>
  <si>
    <t>bytes per cell</t>
  </si>
  <si>
    <t>columns</t>
  </si>
  <si>
    <t>entries</t>
  </si>
  <si>
    <t>rows</t>
  </si>
  <si>
    <t>bytes total</t>
  </si>
  <si>
    <t>squares/pixels</t>
  </si>
  <si>
    <t>bytes/page</t>
  </si>
  <si>
    <t>bytes for map</t>
  </si>
  <si>
    <t>bytes</t>
  </si>
  <si>
    <t>ratio</t>
  </si>
  <si>
    <t>pages</t>
  </si>
  <si>
    <t>dots width</t>
  </si>
  <si>
    <t>KB</t>
  </si>
  <si>
    <t>dots height</t>
  </si>
  <si>
    <t>dots total</t>
  </si>
  <si>
    <t>dots per UDG</t>
  </si>
  <si>
    <t>TOWN MONSTERS</t>
  </si>
  <si>
    <t>TOWN ITEMS</t>
  </si>
  <si>
    <t>OBJECTS DB</t>
  </si>
  <si>
    <t>TOWN MAP</t>
  </si>
  <si>
    <t>Z80 STACK</t>
  </si>
  <si>
    <t>UDG width</t>
  </si>
  <si>
    <t>UDG height</t>
  </si>
  <si>
    <t>UDG total</t>
  </si>
  <si>
    <t>…VIEWER…</t>
  </si>
  <si>
    <t>chars width</t>
  </si>
  <si>
    <t>chars height</t>
  </si>
  <si>
    <t>floor squares width</t>
  </si>
  <si>
    <t>floor squares tall</t>
  </si>
  <si>
    <t>STORE ITEMS</t>
  </si>
  <si>
    <t>EGOS DB</t>
  </si>
  <si>
    <t>stores</t>
  </si>
  <si>
    <t>items per store</t>
  </si>
  <si>
    <t>CORRIDORS</t>
  </si>
  <si>
    <t>STRINGS DB</t>
  </si>
  <si>
    <t>strings</t>
  </si>
  <si>
    <t>ARTIFACTS DB</t>
  </si>
  <si>
    <t>monsters, corridors</t>
  </si>
  <si>
    <t>screen, stack</t>
  </si>
  <si>
    <t>data, heap</t>
  </si>
  <si>
    <t>addr.</t>
  </si>
  <si>
    <t>0x0000</t>
  </si>
  <si>
    <t>0x2000</t>
  </si>
  <si>
    <t>0x4000</t>
  </si>
  <si>
    <t>0x6000</t>
  </si>
  <si>
    <t>0x8000</t>
  </si>
  <si>
    <t>0xA000</t>
  </si>
  <si>
    <t>0xC000</t>
  </si>
  <si>
    <t>0xE000</t>
  </si>
  <si>
    <t>MMU0</t>
  </si>
  <si>
    <t>MMU1</t>
  </si>
  <si>
    <t>MMU2</t>
  </si>
  <si>
    <t>total pages</t>
  </si>
  <si>
    <t>TOTAL</t>
  </si>
  <si>
    <t>MEMORY MAP</t>
  </si>
  <si>
    <t>main</t>
  </si>
  <si>
    <t>&lt;&lt;&lt; fits perfectly in bottom left of screen</t>
  </si>
  <si>
    <t>&lt;&lt;&lt; fits perfectly in upper half of font</t>
  </si>
  <si>
    <t>&lt;&lt;&lt; so the entire map is visible in the mini-map at 2:1</t>
  </si>
  <si>
    <t>data</t>
  </si>
  <si>
    <t>(and loader)</t>
  </si>
  <si>
    <t>stages, LIBs</t>
  </si>
  <si>
    <t>#</t>
  </si>
  <si>
    <t>used for</t>
  </si>
  <si>
    <t>these are potential Angband like features &gt;&gt;&gt;</t>
  </si>
  <si>
    <t>or could we possibly have a scrolling mini-map in 8 rows of 24 cols, scrolling in 8 bottom rows left-hand corner</t>
  </si>
  <si>
    <t>items, creatures</t>
  </si>
  <si>
    <t>maps, strings, objects</t>
  </si>
  <si>
    <t>&lt;&lt;&lt;</t>
  </si>
  <si>
    <t>MMU2, small extras:</t>
  </si>
  <si>
    <t>the strings index, on page 55, in front of the six pages of text</t>
  </si>
  <si>
    <t>the game tables, on page 54 and on the fourth objects page (53), which they share with the last object records</t>
  </si>
  <si>
    <t>what the player knows about items (the rest of page 63)</t>
  </si>
  <si>
    <t>the opening screen and the credits (64–65), the tombstone pictures are in the death stage's own code</t>
  </si>
  <si>
    <t>the character database (95)</t>
  </si>
  <si>
    <t>and the monster memory (first part of page 63) is read through this slot too. Each is put back as it was found.</t>
  </si>
  <si>
    <t>TOTALS</t>
  </si>
  <si>
    <r>
      <t>MMU0:</t>
    </r>
    <r>
      <rPr>
        <sz val="10"/>
        <color rgb="FF7030A0"/>
        <rFont val="Segoe UI"/>
        <family val="2"/>
      </rPr>
      <t> the corridors page is also where the screen is put aside while a list is shown (pack, spells, help, options).</t>
    </r>
  </si>
  <si>
    <r>
      <t>MMU1:</t>
    </r>
    <r>
      <rPr>
        <sz val="10"/>
        <color rgb="FF7030A0"/>
        <rFont val="Segoe UI"/>
        <family val="2"/>
      </rPr>
      <t> the last 22 messages for Ctrl-P (page 42) and the high scores (page 43) come and go here,</t>
    </r>
  </si>
  <si>
    <t>N.B: additional usages:</t>
  </si>
  <si>
    <t>Creature records are now read through MMU1</t>
  </si>
  <si>
    <t>The table of how many creatures there are per level (82 bytes) is in the core data page, with the other small tables, and is never paged.</t>
  </si>
  <si>
    <t>rows (the pages hold 68 rows of 256 columns, a level uses Moria's 66 rows of 198 columns)</t>
  </si>
  <si>
    <t>average length (15,183 bytes in all)</t>
  </si>
  <si>
    <t>pages set aside (57–62), about 2 of them used</t>
  </si>
  <si>
    <t>entries of room (making a level uses about 2,500: tunnels, walls, doors and room centres, and a 400 byte room grid)</t>
  </si>
  <si>
    <t>&lt;&lt;&lt; N.B: rows 27–31 at the bottom of the screen are the monitor's</t>
  </si>
  <si>
    <t>SCENT MAP (Umoria has none: pages 42 and 43, once set aside for it, now hold the messages and the high scores, 44–46 are spare)</t>
  </si>
  <si>
    <t>The "45 total pages" is the three columns only; with the nine extras above (42, 43, 54, 55, 63, 64, 65, 95 and 223) the game's data is 54 pages total,</t>
  </si>
  <si>
    <t>or  55 pages total if we include page 56, which is set aside for a second strings index.</t>
  </si>
  <si>
    <t>the two rogue like help texts (223, the last page there is), 222 is the page for the reset back to NextZXOS, 219–221 are free:</t>
  </si>
  <si>
    <t>they held the licence text until 13 October 2026, which is now the file LICENSE on the SD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</si>
</sst>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rgb="FF7030A0"/>
      <name val="Segoe UI"/>
      <family val="2"/>
    </font>
    <font>
      <sz val="10"/>
      <color rgb="FF7030A0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5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1" fillId="0" borderId="0" xfId="0" applyFont="1"/>
    <xf numFmtId="0" fontId="6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2" fontId="2" fillId="0" borderId="0" xfId="0" applyNumberFormat="1" applyFont="1"/>
    <xf numFmtId="2" fontId="3" fillId="0" borderId="0" xfId="0" applyNumberFormat="1" applyFont="1"/>
    <xf numFmtId="2" fontId="9" fillId="0" borderId="0" xfId="0" applyNumberFormat="1" applyFont="1"/>
    <xf numFmtId="0" fontId="10" fillId="0" borderId="0" xfId="0" applyFont="1"/>
    <xf numFmtId="0" fontId="3" fillId="0" borderId="0" xfId="0" applyFont="1" applyAlignment="1">
      <alignment horizontal="right"/>
    </xf>
    <xf numFmtId="0" fontId="5" fillId="0" borderId="3" xfId="0" applyFont="1" applyBorder="1"/>
    <xf numFmtId="0" fontId="4" fillId="0" borderId="8" xfId="0" applyFont="1" applyBorder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2" fontId="6" fillId="0" borderId="0" xfId="0" applyNumberFormat="1" applyFont="1"/>
    <xf numFmtId="1" fontId="9" fillId="0" borderId="0" xfId="0" applyNumberFormat="1" applyFont="1"/>
    <xf numFmtId="1" fontId="3" fillId="0" borderId="0" xfId="0" applyNumberFormat="1" applyFont="1"/>
    <xf numFmtId="1" fontId="2" fillId="0" borderId="0" xfId="0" applyNumberFormat="1" applyFont="1"/>
    <xf numFmtId="1" fontId="1" fillId="0" borderId="0" xfId="0" applyNumberFormat="1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5" xfId="0" applyFont="1" applyBorder="1"/>
    <xf numFmtId="0" fontId="8" fillId="0" borderId="3" xfId="0" applyFont="1" applyBorder="1"/>
    <xf numFmtId="0" fontId="4" fillId="0" borderId="3" xfId="0" applyFont="1" applyBorder="1"/>
    <xf numFmtId="0" fontId="8" fillId="0" borderId="8" xfId="0" applyFont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1" fontId="5" fillId="0" borderId="6" xfId="0" applyNumberFormat="1" applyFont="1" applyBorder="1"/>
    <xf numFmtId="0" fontId="5" fillId="0" borderId="8" xfId="0" applyFont="1" applyBorder="1"/>
    <xf numFmtId="0" fontId="8" fillId="0" borderId="1" xfId="0" applyFont="1" applyBorder="1"/>
    <xf numFmtId="1" fontId="8" fillId="0" borderId="6" xfId="0" applyNumberFormat="1" applyFont="1" applyBorder="1"/>
    <xf numFmtId="0" fontId="4" fillId="0" borderId="1" xfId="0" applyFont="1" applyBorder="1"/>
    <xf numFmtId="1" fontId="4" fillId="0" borderId="6" xfId="0" applyNumberFormat="1" applyFont="1" applyBorder="1"/>
    <xf numFmtId="0" fontId="6" fillId="0" borderId="9" xfId="0" applyFont="1" applyBorder="1"/>
    <xf numFmtId="0" fontId="10" fillId="0" borderId="10" xfId="0" applyFont="1" applyBorder="1"/>
    <xf numFmtId="0" fontId="6" fillId="0" borderId="11" xfId="0" applyFont="1" applyBorder="1"/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11" fillId="0" borderId="0" xfId="0" applyFont="1"/>
    <xf numFmtId="2" fontId="11" fillId="0" borderId="0" xfId="0" applyNumberFormat="1" applyFont="1"/>
    <xf numFmtId="1" fontId="11" fillId="0" borderId="0" xfId="0" applyNumberFormat="1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6" fillId="0" borderId="6" xfId="0" applyFont="1" applyBorder="1"/>
    <xf numFmtId="0" fontId="6" fillId="0" borderId="8" xfId="0" applyFont="1" applyBorder="1"/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6AE6-B478-499E-AB45-F6C90FD873D2}">
  <dimension ref="B1:X50"/>
  <sheetViews>
    <sheetView tabSelected="1" zoomScale="80" zoomScaleNormal="80" workbookViewId="0">
      <pane ySplit="2" topLeftCell="A3" activePane="bottomLeft" state="frozen"/>
      <selection pane="bottomLeft" activeCell="U35" sqref="U35"/>
    </sheetView>
  </sheetViews>
  <sheetFormatPr defaultRowHeight="15" x14ac:dyDescent="0.25"/>
  <cols>
    <col min="1" max="1" width="3" customWidth="1"/>
    <col min="2" max="2" width="6.140625" bestFit="1" customWidth="1"/>
    <col min="3" max="3" width="9.42578125" customWidth="1"/>
    <col min="4" max="4" width="7.85546875" bestFit="1" customWidth="1"/>
    <col min="5" max="5" width="13.7109375" bestFit="1" customWidth="1"/>
    <col min="6" max="6" width="22.7109375" bestFit="1" customWidth="1"/>
    <col min="7" max="7" width="4.7109375" customWidth="1"/>
    <col min="8" max="8" width="6.7109375" bestFit="1" customWidth="1"/>
    <col min="9" max="9" width="16.28515625" customWidth="1"/>
    <col min="10" max="10" width="3.140625" customWidth="1"/>
    <col min="11" max="11" width="8.85546875" bestFit="1" customWidth="1"/>
    <col min="12" max="12" width="16" bestFit="1" customWidth="1"/>
    <col min="13" max="13" width="3.140625" customWidth="1"/>
    <col min="14" max="14" width="7.7109375" bestFit="1" customWidth="1"/>
    <col min="15" max="15" width="14.85546875" bestFit="1" customWidth="1"/>
    <col min="16" max="16" width="3.42578125" customWidth="1"/>
    <col min="17" max="17" width="5.5703125" bestFit="1" customWidth="1"/>
    <col min="18" max="18" width="13.140625" customWidth="1"/>
    <col min="19" max="19" width="4.42578125" bestFit="1" customWidth="1"/>
    <col min="20" max="20" width="6.7109375" bestFit="1" customWidth="1"/>
    <col min="21" max="21" width="20.7109375" bestFit="1" customWidth="1"/>
    <col min="22" max="22" width="5.42578125" customWidth="1"/>
    <col min="23" max="23" width="5.5703125" bestFit="1" customWidth="1"/>
    <col min="24" max="24" width="12.85546875" customWidth="1"/>
  </cols>
  <sheetData>
    <row r="1" spans="2:24" x14ac:dyDescent="0.25">
      <c r="G1" s="10"/>
      <c r="H1" s="1"/>
      <c r="I1" s="1" t="s">
        <v>65</v>
      </c>
      <c r="J1" s="10"/>
      <c r="K1" s="10"/>
      <c r="L1" s="10" t="s">
        <v>66</v>
      </c>
      <c r="M1" s="10"/>
      <c r="N1" s="10"/>
      <c r="O1" s="7" t="s">
        <v>67</v>
      </c>
      <c r="P1" s="10"/>
      <c r="Q1" s="10"/>
      <c r="R1" s="8" t="s">
        <v>5</v>
      </c>
      <c r="S1" s="10"/>
      <c r="T1" s="10"/>
      <c r="U1" s="14" t="s">
        <v>0</v>
      </c>
      <c r="V1" s="10"/>
    </row>
    <row r="2" spans="2:24" x14ac:dyDescent="0.25">
      <c r="H2" s="3"/>
      <c r="I2" s="3"/>
      <c r="K2" s="9"/>
      <c r="L2" s="9"/>
    </row>
    <row r="3" spans="2:24" x14ac:dyDescent="0.25">
      <c r="H3" s="3"/>
      <c r="I3" s="3" t="s">
        <v>8</v>
      </c>
      <c r="K3" s="9"/>
      <c r="L3" s="9" t="s">
        <v>9</v>
      </c>
      <c r="N3" s="2"/>
      <c r="O3" s="2" t="s">
        <v>11</v>
      </c>
      <c r="Q3" s="5"/>
      <c r="R3" s="5" t="s">
        <v>12</v>
      </c>
      <c r="U3" t="s">
        <v>13</v>
      </c>
      <c r="W3" s="4"/>
      <c r="X3" s="4"/>
    </row>
    <row r="4" spans="2:24" x14ac:dyDescent="0.25">
      <c r="B4" s="55"/>
      <c r="C4" s="56" t="s">
        <v>70</v>
      </c>
      <c r="D4" s="57"/>
      <c r="E4" s="4"/>
      <c r="F4" s="4"/>
      <c r="H4" s="3">
        <v>64</v>
      </c>
      <c r="I4" s="3" t="s">
        <v>14</v>
      </c>
      <c r="K4" s="9">
        <v>64</v>
      </c>
      <c r="L4" s="9" t="s">
        <v>14</v>
      </c>
      <c r="N4" s="2">
        <v>8</v>
      </c>
      <c r="O4" s="2" t="s">
        <v>15</v>
      </c>
      <c r="Q4" s="5">
        <v>2</v>
      </c>
      <c r="R4" s="5" t="s">
        <v>16</v>
      </c>
      <c r="T4">
        <v>256</v>
      </c>
      <c r="U4" t="s">
        <v>17</v>
      </c>
      <c r="W4" s="4"/>
      <c r="X4" s="4"/>
    </row>
    <row r="5" spans="2:24" x14ac:dyDescent="0.25">
      <c r="B5" s="58" t="s">
        <v>1</v>
      </c>
      <c r="C5" s="59" t="s">
        <v>1</v>
      </c>
      <c r="D5" s="60" t="s">
        <v>2</v>
      </c>
      <c r="E5" s="60" t="s">
        <v>79</v>
      </c>
      <c r="F5" s="61" t="s">
        <v>71</v>
      </c>
      <c r="H5" s="3">
        <v>125</v>
      </c>
      <c r="I5" s="3" t="s">
        <v>18</v>
      </c>
      <c r="K5" s="9">
        <v>175</v>
      </c>
      <c r="L5" s="9" t="s">
        <v>18</v>
      </c>
      <c r="N5" s="2">
        <v>256</v>
      </c>
      <c r="O5" s="2" t="s">
        <v>17</v>
      </c>
      <c r="Q5" s="5">
        <v>80</v>
      </c>
      <c r="R5" s="5" t="s">
        <v>17</v>
      </c>
      <c r="T5">
        <v>128</v>
      </c>
      <c r="U5" t="s">
        <v>19</v>
      </c>
      <c r="W5" s="4"/>
      <c r="X5" s="4"/>
    </row>
    <row r="6" spans="2:24" x14ac:dyDescent="0.25">
      <c r="B6" s="62" t="s">
        <v>78</v>
      </c>
      <c r="C6" s="63" t="s">
        <v>56</v>
      </c>
      <c r="D6" s="64" t="s">
        <v>3</v>
      </c>
      <c r="E6" s="64"/>
      <c r="F6" s="65" t="s">
        <v>4</v>
      </c>
      <c r="H6" s="3">
        <f>H4*H5</f>
        <v>8000</v>
      </c>
      <c r="I6" s="3" t="s">
        <v>20</v>
      </c>
      <c r="K6" s="9">
        <f>K4*K5</f>
        <v>11200</v>
      </c>
      <c r="L6" s="9" t="s">
        <v>20</v>
      </c>
      <c r="N6" s="2">
        <v>68</v>
      </c>
      <c r="O6" s="2" t="s">
        <v>98</v>
      </c>
      <c r="Q6" s="5">
        <v>32</v>
      </c>
      <c r="R6" s="5" t="s">
        <v>19</v>
      </c>
      <c r="T6">
        <f>T4*T5</f>
        <v>32768</v>
      </c>
      <c r="U6" t="s">
        <v>21</v>
      </c>
      <c r="W6" s="4"/>
      <c r="X6" s="4"/>
    </row>
    <row r="7" spans="2:24" x14ac:dyDescent="0.25">
      <c r="B7" s="19">
        <v>0</v>
      </c>
      <c r="C7" s="33" t="s">
        <v>57</v>
      </c>
      <c r="D7" s="3" t="s">
        <v>3</v>
      </c>
      <c r="E7" s="3" t="s">
        <v>75</v>
      </c>
      <c r="F7" s="20" t="s">
        <v>53</v>
      </c>
      <c r="H7" s="3">
        <v>8192</v>
      </c>
      <c r="I7" s="3" t="s">
        <v>22</v>
      </c>
      <c r="K7" s="9">
        <v>8192</v>
      </c>
      <c r="L7" s="9" t="s">
        <v>22</v>
      </c>
      <c r="N7" s="2">
        <f>N4*N5*N6</f>
        <v>139264</v>
      </c>
      <c r="O7" s="2" t="s">
        <v>23</v>
      </c>
      <c r="Q7" s="5">
        <f>Q4*Q5*Q6</f>
        <v>5120</v>
      </c>
      <c r="R7" s="5" t="s">
        <v>24</v>
      </c>
      <c r="T7">
        <v>2</v>
      </c>
      <c r="U7" t="s">
        <v>25</v>
      </c>
      <c r="W7" s="4"/>
      <c r="X7" s="4"/>
    </row>
    <row r="8" spans="2:24" x14ac:dyDescent="0.25">
      <c r="B8" s="21">
        <v>1</v>
      </c>
      <c r="C8" s="34" t="s">
        <v>58</v>
      </c>
      <c r="D8" s="9" t="s">
        <v>3</v>
      </c>
      <c r="E8" s="9" t="s">
        <v>75</v>
      </c>
      <c r="F8" s="22" t="s">
        <v>82</v>
      </c>
      <c r="H8" s="12">
        <f>H6/H7</f>
        <v>0.9765625</v>
      </c>
      <c r="I8" s="3" t="s">
        <v>26</v>
      </c>
      <c r="K8" s="13">
        <f>K6/K7</f>
        <v>1.3671875</v>
      </c>
      <c r="L8" s="9" t="s">
        <v>26</v>
      </c>
      <c r="N8" s="2">
        <v>8192</v>
      </c>
      <c r="O8" s="2" t="s">
        <v>22</v>
      </c>
      <c r="Q8" s="5">
        <v>8192</v>
      </c>
      <c r="R8" s="5" t="s">
        <v>22</v>
      </c>
      <c r="T8">
        <f>T4/T7</f>
        <v>128</v>
      </c>
      <c r="U8" t="s">
        <v>27</v>
      </c>
      <c r="W8" s="4"/>
      <c r="X8" s="4"/>
    </row>
    <row r="9" spans="2:24" x14ac:dyDescent="0.25">
      <c r="B9" s="23">
        <v>2</v>
      </c>
      <c r="C9" s="35" t="s">
        <v>59</v>
      </c>
      <c r="D9" s="2" t="s">
        <v>3</v>
      </c>
      <c r="E9" s="2" t="s">
        <v>75</v>
      </c>
      <c r="F9" s="24" t="s">
        <v>83</v>
      </c>
      <c r="H9" s="30">
        <f>ROUNDUP(H8,0)</f>
        <v>1</v>
      </c>
      <c r="I9" s="3" t="s">
        <v>26</v>
      </c>
      <c r="K9" s="29">
        <f>ROUNDUP(K8,0)</f>
        <v>2</v>
      </c>
      <c r="L9" s="9" t="s">
        <v>26</v>
      </c>
      <c r="N9" s="11">
        <f>N7/N8</f>
        <v>17</v>
      </c>
      <c r="O9" s="2" t="s">
        <v>26</v>
      </c>
      <c r="Q9" s="32">
        <f>Q7/1024</f>
        <v>5</v>
      </c>
      <c r="R9" s="5" t="s">
        <v>28</v>
      </c>
      <c r="T9">
        <f>T5/T7</f>
        <v>64</v>
      </c>
      <c r="U9" t="s">
        <v>29</v>
      </c>
      <c r="W9" s="4"/>
      <c r="X9" s="4"/>
    </row>
    <row r="10" spans="2:24" x14ac:dyDescent="0.25">
      <c r="B10" s="18">
        <v>3</v>
      </c>
      <c r="C10" s="6" t="s">
        <v>60</v>
      </c>
      <c r="D10" s="4" t="s">
        <v>3</v>
      </c>
      <c r="E10" s="4" t="s">
        <v>7</v>
      </c>
      <c r="F10" s="37" t="s">
        <v>77</v>
      </c>
      <c r="H10" s="3"/>
      <c r="I10" s="3"/>
      <c r="N10" s="31">
        <f>ROUNDUP(N9,0)</f>
        <v>17</v>
      </c>
      <c r="O10" s="2" t="s">
        <v>26</v>
      </c>
      <c r="Q10" s="5"/>
      <c r="R10" s="5"/>
      <c r="T10">
        <f>T8*T9</f>
        <v>8192</v>
      </c>
      <c r="U10" t="s">
        <v>30</v>
      </c>
      <c r="W10" s="28"/>
      <c r="X10" s="4"/>
    </row>
    <row r="11" spans="2:24" x14ac:dyDescent="0.25">
      <c r="B11" s="73">
        <v>4</v>
      </c>
      <c r="C11" s="74" t="s">
        <v>61</v>
      </c>
      <c r="D11" s="76" t="s">
        <v>6</v>
      </c>
      <c r="E11" s="76" t="s">
        <v>7</v>
      </c>
      <c r="F11" s="75"/>
      <c r="H11" s="3"/>
      <c r="I11" s="3"/>
      <c r="Q11" s="5"/>
      <c r="R11" s="5"/>
      <c r="T11">
        <v>8</v>
      </c>
      <c r="U11" t="s">
        <v>31</v>
      </c>
      <c r="W11" s="28"/>
      <c r="X11" s="4"/>
    </row>
    <row r="12" spans="2:24" x14ac:dyDescent="0.25">
      <c r="B12" s="73">
        <v>5</v>
      </c>
      <c r="C12" s="74" t="s">
        <v>62</v>
      </c>
      <c r="D12" s="76" t="s">
        <v>6</v>
      </c>
      <c r="E12" s="76" t="s">
        <v>7</v>
      </c>
      <c r="F12" s="75"/>
      <c r="H12" s="3"/>
      <c r="I12" s="3" t="s">
        <v>32</v>
      </c>
      <c r="K12" s="9"/>
      <c r="L12" s="9" t="s">
        <v>33</v>
      </c>
      <c r="N12" s="2"/>
      <c r="O12" s="2" t="s">
        <v>35</v>
      </c>
      <c r="R12" s="5" t="s">
        <v>36</v>
      </c>
      <c r="T12">
        <f>T8/T11</f>
        <v>16</v>
      </c>
      <c r="U12" t="s">
        <v>37</v>
      </c>
    </row>
    <row r="13" spans="2:24" x14ac:dyDescent="0.25">
      <c r="B13" s="73">
        <v>6</v>
      </c>
      <c r="C13" s="74" t="s">
        <v>63</v>
      </c>
      <c r="D13" s="76" t="s">
        <v>6</v>
      </c>
      <c r="E13" s="76" t="s">
        <v>55</v>
      </c>
      <c r="F13" s="75" t="s">
        <v>76</v>
      </c>
      <c r="H13" s="3">
        <v>64</v>
      </c>
      <c r="I13" s="3" t="s">
        <v>14</v>
      </c>
      <c r="K13" s="9">
        <v>64</v>
      </c>
      <c r="L13" s="9" t="s">
        <v>14</v>
      </c>
      <c r="N13" s="2">
        <v>8</v>
      </c>
      <c r="O13" s="2" t="s">
        <v>15</v>
      </c>
      <c r="Q13" s="5">
        <f>Q8-Q7-2</f>
        <v>3070</v>
      </c>
      <c r="R13" s="5" t="s">
        <v>24</v>
      </c>
      <c r="T13">
        <f>T9/T11</f>
        <v>8</v>
      </c>
      <c r="U13" t="s">
        <v>38</v>
      </c>
    </row>
    <row r="14" spans="2:24" x14ac:dyDescent="0.25">
      <c r="B14" s="25">
        <v>7</v>
      </c>
      <c r="C14" s="36" t="s">
        <v>64</v>
      </c>
      <c r="D14" s="26" t="s">
        <v>6</v>
      </c>
      <c r="E14" s="26" t="s">
        <v>54</v>
      </c>
      <c r="F14" s="27"/>
      <c r="H14" s="3">
        <v>125</v>
      </c>
      <c r="I14" s="3" t="s">
        <v>18</v>
      </c>
      <c r="J14" s="9"/>
      <c r="K14" s="9">
        <v>175</v>
      </c>
      <c r="L14" s="9" t="s">
        <v>18</v>
      </c>
      <c r="M14" s="9"/>
      <c r="N14" s="2">
        <v>256</v>
      </c>
      <c r="O14" s="2" t="s">
        <v>17</v>
      </c>
      <c r="Q14" s="32">
        <f>Q13/1024</f>
        <v>2.998046875</v>
      </c>
      <c r="R14" s="5" t="s">
        <v>28</v>
      </c>
      <c r="T14">
        <f>T12*T13</f>
        <v>128</v>
      </c>
      <c r="U14" t="s">
        <v>39</v>
      </c>
      <c r="V14" t="s">
        <v>73</v>
      </c>
    </row>
    <row r="15" spans="2:24" x14ac:dyDescent="0.25">
      <c r="H15" s="3">
        <f>H13*H14</f>
        <v>8000</v>
      </c>
      <c r="I15" s="3" t="s">
        <v>20</v>
      </c>
      <c r="J15" s="9"/>
      <c r="K15" s="9">
        <f>K13*K14</f>
        <v>11200</v>
      </c>
      <c r="L15" s="9" t="s">
        <v>20</v>
      </c>
      <c r="M15" s="9"/>
      <c r="N15" s="2">
        <v>22</v>
      </c>
      <c r="O15" s="2" t="s">
        <v>19</v>
      </c>
      <c r="U15" t="s">
        <v>40</v>
      </c>
    </row>
    <row r="16" spans="2:24" x14ac:dyDescent="0.25">
      <c r="H16" s="3">
        <v>8192</v>
      </c>
      <c r="I16" s="3" t="s">
        <v>22</v>
      </c>
      <c r="J16" s="9"/>
      <c r="K16" s="9">
        <v>8192</v>
      </c>
      <c r="L16" s="9" t="s">
        <v>22</v>
      </c>
      <c r="M16" s="9"/>
      <c r="N16" s="2">
        <f>N13*N14*N15</f>
        <v>45056</v>
      </c>
      <c r="O16" s="2" t="s">
        <v>23</v>
      </c>
      <c r="T16">
        <v>13</v>
      </c>
      <c r="U16" t="s">
        <v>41</v>
      </c>
      <c r="V16" t="s">
        <v>72</v>
      </c>
    </row>
    <row r="17" spans="8:22" x14ac:dyDescent="0.25">
      <c r="H17" s="12">
        <f>H15/H16</f>
        <v>0.9765625</v>
      </c>
      <c r="I17" s="3" t="s">
        <v>26</v>
      </c>
      <c r="J17" s="9"/>
      <c r="K17" s="13">
        <f>K15/K16</f>
        <v>1.3671875</v>
      </c>
      <c r="L17" s="9" t="s">
        <v>26</v>
      </c>
      <c r="M17" s="9"/>
      <c r="N17" s="2">
        <v>8192</v>
      </c>
      <c r="O17" s="2" t="s">
        <v>22</v>
      </c>
      <c r="T17">
        <v>5</v>
      </c>
      <c r="U17" t="s">
        <v>42</v>
      </c>
      <c r="V17" t="s">
        <v>102</v>
      </c>
    </row>
    <row r="18" spans="8:22" x14ac:dyDescent="0.25">
      <c r="H18" s="30">
        <f>ROUNDUP(H17,0)</f>
        <v>1</v>
      </c>
      <c r="I18" s="3" t="s">
        <v>26</v>
      </c>
      <c r="J18" s="9"/>
      <c r="K18" s="29">
        <f>ROUNDUP(K17,0)</f>
        <v>2</v>
      </c>
      <c r="L18" s="9" t="s">
        <v>26</v>
      </c>
      <c r="M18" s="9"/>
      <c r="N18" s="11">
        <f>N16/N17</f>
        <v>5.5</v>
      </c>
      <c r="O18" s="2" t="s">
        <v>26</v>
      </c>
      <c r="T18">
        <f>T16*T13*T7</f>
        <v>208</v>
      </c>
      <c r="U18" t="s">
        <v>43</v>
      </c>
      <c r="V18" t="s">
        <v>74</v>
      </c>
    </row>
    <row r="19" spans="8:22" x14ac:dyDescent="0.25">
      <c r="J19" s="9"/>
      <c r="M19" s="9"/>
      <c r="N19" s="31">
        <f>ROUNDUP(N18,0)</f>
        <v>6</v>
      </c>
      <c r="O19" s="2" t="s">
        <v>26</v>
      </c>
      <c r="T19">
        <f>T17*T13*T7</f>
        <v>80</v>
      </c>
      <c r="U19" t="s">
        <v>44</v>
      </c>
      <c r="V19" t="s">
        <v>81</v>
      </c>
    </row>
    <row r="20" spans="8:22" x14ac:dyDescent="0.25">
      <c r="J20" s="9"/>
      <c r="M20" s="9"/>
      <c r="N20" s="31"/>
      <c r="O20" s="2"/>
    </row>
    <row r="21" spans="8:22" x14ac:dyDescent="0.25">
      <c r="H21" s="15"/>
      <c r="I21" s="3" t="s">
        <v>49</v>
      </c>
      <c r="J21" s="9"/>
      <c r="K21" s="9"/>
      <c r="L21" s="9" t="s">
        <v>45</v>
      </c>
      <c r="M21" s="9"/>
      <c r="N21" s="2"/>
      <c r="O21" s="2" t="s">
        <v>50</v>
      </c>
      <c r="Q21" s="5"/>
    </row>
    <row r="22" spans="8:22" x14ac:dyDescent="0.25">
      <c r="H22" s="3">
        <v>2</v>
      </c>
      <c r="I22" s="3" t="s">
        <v>14</v>
      </c>
      <c r="K22" s="9">
        <v>64</v>
      </c>
      <c r="L22" s="9" t="s">
        <v>14</v>
      </c>
      <c r="N22" s="2">
        <v>23.358461538461537</v>
      </c>
      <c r="O22" s="2" t="s">
        <v>99</v>
      </c>
      <c r="U22" s="77" t="s">
        <v>95</v>
      </c>
    </row>
    <row r="23" spans="8:22" x14ac:dyDescent="0.25">
      <c r="H23" s="3">
        <v>4096</v>
      </c>
      <c r="I23" s="3" t="s">
        <v>101</v>
      </c>
      <c r="J23" s="3"/>
      <c r="K23" s="9">
        <v>6</v>
      </c>
      <c r="L23" s="9" t="s">
        <v>47</v>
      </c>
      <c r="M23" s="3"/>
      <c r="N23" s="2">
        <v>650</v>
      </c>
      <c r="O23" s="2" t="s">
        <v>51</v>
      </c>
      <c r="U23" s="77" t="s">
        <v>93</v>
      </c>
    </row>
    <row r="24" spans="8:22" x14ac:dyDescent="0.25">
      <c r="H24" s="3">
        <f>H22*H23</f>
        <v>8192</v>
      </c>
      <c r="I24" s="3" t="s">
        <v>24</v>
      </c>
      <c r="J24" s="3"/>
      <c r="K24" s="9">
        <f>24</f>
        <v>24</v>
      </c>
      <c r="L24" s="9" t="s">
        <v>48</v>
      </c>
      <c r="M24" s="3"/>
      <c r="N24" s="2">
        <f>N22*N23</f>
        <v>15182.999999999998</v>
      </c>
      <c r="O24" s="2" t="s">
        <v>24</v>
      </c>
      <c r="U24" s="77" t="s">
        <v>94</v>
      </c>
    </row>
    <row r="25" spans="8:22" x14ac:dyDescent="0.25">
      <c r="H25" s="3">
        <v>8192</v>
      </c>
      <c r="I25" s="3" t="s">
        <v>22</v>
      </c>
      <c r="J25" s="3"/>
      <c r="K25" s="9">
        <f>K23*K24</f>
        <v>144</v>
      </c>
      <c r="L25" s="9" t="s">
        <v>18</v>
      </c>
      <c r="M25" s="3"/>
      <c r="N25" s="2">
        <v>8192</v>
      </c>
      <c r="O25" s="2" t="s">
        <v>22</v>
      </c>
      <c r="U25" s="76" t="s">
        <v>91</v>
      </c>
    </row>
    <row r="26" spans="8:22" x14ac:dyDescent="0.25">
      <c r="H26" s="12">
        <f>H24/H25</f>
        <v>1</v>
      </c>
      <c r="I26" s="3" t="s">
        <v>26</v>
      </c>
      <c r="J26" s="3"/>
      <c r="K26" s="9">
        <f>K25*K22</f>
        <v>9216</v>
      </c>
      <c r="L26" s="9" t="s">
        <v>20</v>
      </c>
      <c r="M26" s="3"/>
      <c r="N26" s="11">
        <f>N24/N25</f>
        <v>1.8533935546874998</v>
      </c>
      <c r="O26" s="2" t="s">
        <v>26</v>
      </c>
      <c r="U26" s="76" t="s">
        <v>96</v>
      </c>
    </row>
    <row r="27" spans="8:22" x14ac:dyDescent="0.25">
      <c r="H27" s="30">
        <f>ROUNDUP(H26,0)</f>
        <v>1</v>
      </c>
      <c r="I27" s="3" t="s">
        <v>26</v>
      </c>
      <c r="J27" s="3"/>
      <c r="K27" s="9">
        <v>8192</v>
      </c>
      <c r="L27" s="9" t="s">
        <v>22</v>
      </c>
      <c r="M27" s="3"/>
      <c r="N27" s="31">
        <v>6</v>
      </c>
      <c r="O27" s="2" t="s">
        <v>100</v>
      </c>
      <c r="U27" s="76" t="s">
        <v>97</v>
      </c>
    </row>
    <row r="28" spans="8:22" x14ac:dyDescent="0.25">
      <c r="J28" s="3"/>
      <c r="K28" s="13">
        <f>K26/K27</f>
        <v>1.125</v>
      </c>
      <c r="L28" s="9" t="s">
        <v>26</v>
      </c>
      <c r="M28" s="3"/>
      <c r="U28" s="77" t="s">
        <v>85</v>
      </c>
    </row>
    <row r="29" spans="8:22" x14ac:dyDescent="0.25">
      <c r="J29" s="3"/>
      <c r="K29" s="29">
        <f>ROUNDUP(K28,0)</f>
        <v>2</v>
      </c>
      <c r="L29" s="9" t="s">
        <v>26</v>
      </c>
      <c r="M29" s="3"/>
      <c r="U29" s="78" t="s">
        <v>86</v>
      </c>
    </row>
    <row r="30" spans="8:22" x14ac:dyDescent="0.25">
      <c r="J30" s="3"/>
      <c r="K30" s="29"/>
      <c r="L30" s="9"/>
      <c r="M30" s="3"/>
      <c r="U30" s="78" t="s">
        <v>87</v>
      </c>
    </row>
    <row r="31" spans="8:22" x14ac:dyDescent="0.25">
      <c r="J31" s="3"/>
      <c r="K31" s="9"/>
      <c r="L31" s="9" t="s">
        <v>10</v>
      </c>
      <c r="M31" s="3"/>
      <c r="N31" s="2"/>
      <c r="O31" s="2" t="s">
        <v>34</v>
      </c>
      <c r="U31" s="78" t="s">
        <v>88</v>
      </c>
    </row>
    <row r="32" spans="8:22" x14ac:dyDescent="0.25">
      <c r="J32" s="3"/>
      <c r="K32" s="9">
        <v>64</v>
      </c>
      <c r="L32" s="9" t="s">
        <v>14</v>
      </c>
      <c r="M32" s="3"/>
      <c r="N32" s="2">
        <v>64</v>
      </c>
      <c r="O32" s="2" t="s">
        <v>14</v>
      </c>
      <c r="U32" s="78" t="s">
        <v>89</v>
      </c>
    </row>
    <row r="33" spans="3:21" x14ac:dyDescent="0.25">
      <c r="J33" s="3"/>
      <c r="K33" s="9">
        <v>279</v>
      </c>
      <c r="L33" s="9" t="s">
        <v>18</v>
      </c>
      <c r="M33" s="3"/>
      <c r="N33" s="2">
        <v>420</v>
      </c>
      <c r="O33" s="2" t="s">
        <v>18</v>
      </c>
      <c r="U33" s="78" t="s">
        <v>90</v>
      </c>
    </row>
    <row r="34" spans="3:21" x14ac:dyDescent="0.25">
      <c r="J34" s="3"/>
      <c r="K34" s="9">
        <f>K32*K33</f>
        <v>17856</v>
      </c>
      <c r="L34" s="9" t="s">
        <v>20</v>
      </c>
      <c r="M34" s="3"/>
      <c r="N34" s="2">
        <f>N32*N33</f>
        <v>26880</v>
      </c>
      <c r="O34" s="2" t="s">
        <v>20</v>
      </c>
      <c r="U34" s="78" t="s">
        <v>106</v>
      </c>
    </row>
    <row r="35" spans="3:21" x14ac:dyDescent="0.25">
      <c r="J35" s="3"/>
      <c r="K35" s="9">
        <v>8192</v>
      </c>
      <c r="L35" s="9" t="s">
        <v>22</v>
      </c>
      <c r="M35" s="3"/>
      <c r="N35" s="2">
        <v>8192</v>
      </c>
      <c r="O35" s="2" t="s">
        <v>22</v>
      </c>
      <c r="U35" s="78" t="s">
        <v>107</v>
      </c>
    </row>
    <row r="36" spans="3:21" x14ac:dyDescent="0.25">
      <c r="J36" s="3"/>
      <c r="K36" s="13">
        <f>K34/K35</f>
        <v>2.1796875</v>
      </c>
      <c r="L36" s="9" t="s">
        <v>26</v>
      </c>
      <c r="M36" s="3"/>
      <c r="N36" s="11">
        <f>N34/N35</f>
        <v>3.28125</v>
      </c>
      <c r="O36" s="2" t="s">
        <v>26</v>
      </c>
      <c r="U36" s="77" t="s">
        <v>92</v>
      </c>
    </row>
    <row r="37" spans="3:21" x14ac:dyDescent="0.25">
      <c r="J37" s="3"/>
      <c r="K37" s="29">
        <f>ROUNDUP(K36,0)</f>
        <v>3</v>
      </c>
      <c r="L37" s="9" t="s">
        <v>26</v>
      </c>
      <c r="M37" s="3"/>
      <c r="N37" s="31">
        <f>ROUNDUP(N36,0)</f>
        <v>4</v>
      </c>
      <c r="O37" s="2" t="s">
        <v>26</v>
      </c>
      <c r="U37" s="78" t="s">
        <v>104</v>
      </c>
    </row>
    <row r="38" spans="3:21" x14ac:dyDescent="0.25">
      <c r="D38" s="41"/>
      <c r="E38" s="41"/>
      <c r="F38" s="42"/>
      <c r="G38" s="43"/>
      <c r="U38" s="78" t="s">
        <v>105</v>
      </c>
    </row>
    <row r="39" spans="3:21" x14ac:dyDescent="0.25">
      <c r="D39" s="44"/>
      <c r="E39" s="44"/>
      <c r="F39" s="10"/>
      <c r="G39" s="45"/>
      <c r="H39" s="48"/>
      <c r="I39" s="16" t="s">
        <v>65</v>
      </c>
      <c r="J39" s="10"/>
      <c r="K39" s="51"/>
      <c r="L39" s="38" t="s">
        <v>66</v>
      </c>
      <c r="M39" s="10"/>
      <c r="N39" s="53"/>
      <c r="O39" s="39" t="s">
        <v>67</v>
      </c>
      <c r="P39" s="10"/>
      <c r="Q39" s="58" t="s">
        <v>84</v>
      </c>
      <c r="R39" s="61" t="s">
        <v>69</v>
      </c>
    </row>
    <row r="40" spans="3:21" x14ac:dyDescent="0.25">
      <c r="D40" s="44"/>
      <c r="E40" s="44"/>
      <c r="F40" s="10"/>
      <c r="G40" s="45"/>
      <c r="H40" s="49">
        <f>H9+H18+H27</f>
        <v>3</v>
      </c>
      <c r="I40" s="50" t="s">
        <v>26</v>
      </c>
      <c r="K40" s="52">
        <f>K9+K18+K29+K37</f>
        <v>9</v>
      </c>
      <c r="L40" s="40" t="s">
        <v>26</v>
      </c>
      <c r="N40" s="54">
        <f>N10+N19+N27+N37</f>
        <v>33</v>
      </c>
      <c r="O40" s="17" t="s">
        <v>26</v>
      </c>
      <c r="Q40" s="71">
        <f>H40+K40+N40</f>
        <v>45</v>
      </c>
      <c r="R40" s="72" t="s">
        <v>68</v>
      </c>
    </row>
    <row r="41" spans="3:21" x14ac:dyDescent="0.25">
      <c r="D41" s="46"/>
      <c r="E41" s="46"/>
      <c r="F41" s="7"/>
      <c r="G41" s="47"/>
    </row>
    <row r="42" spans="3:21" x14ac:dyDescent="0.25">
      <c r="I42" s="69"/>
      <c r="J42" s="3"/>
      <c r="K42" s="3"/>
      <c r="L42" s="66"/>
      <c r="M42" s="66"/>
      <c r="N42" s="66"/>
      <c r="O42" s="66"/>
    </row>
    <row r="43" spans="3:21" x14ac:dyDescent="0.25">
      <c r="C43" s="70"/>
      <c r="D43" s="70"/>
      <c r="E43" s="70" t="s">
        <v>80</v>
      </c>
      <c r="H43" s="66"/>
      <c r="I43" s="66" t="s">
        <v>103</v>
      </c>
      <c r="J43" s="66"/>
      <c r="K43" s="66"/>
      <c r="L43" s="66" t="s">
        <v>52</v>
      </c>
      <c r="N43" s="2"/>
      <c r="O43" s="66" t="s">
        <v>46</v>
      </c>
    </row>
    <row r="44" spans="3:21" x14ac:dyDescent="0.25">
      <c r="H44" s="66">
        <v>2</v>
      </c>
      <c r="I44" s="66" t="s">
        <v>14</v>
      </c>
      <c r="J44" s="66"/>
      <c r="K44" s="66">
        <v>64</v>
      </c>
      <c r="L44" s="66" t="s">
        <v>14</v>
      </c>
      <c r="N44" s="66">
        <v>64</v>
      </c>
      <c r="O44" s="66" t="s">
        <v>14</v>
      </c>
    </row>
    <row r="45" spans="3:21" x14ac:dyDescent="0.25">
      <c r="H45" s="66">
        <v>256</v>
      </c>
      <c r="I45" s="66" t="s">
        <v>17</v>
      </c>
      <c r="J45" s="66"/>
      <c r="K45" s="66">
        <v>99</v>
      </c>
      <c r="L45" s="66" t="s">
        <v>18</v>
      </c>
      <c r="N45" s="66">
        <v>55</v>
      </c>
      <c r="O45" s="66" t="s">
        <v>18</v>
      </c>
    </row>
    <row r="46" spans="3:21" x14ac:dyDescent="0.25">
      <c r="H46" s="66">
        <v>80</v>
      </c>
      <c r="I46" s="66" t="s">
        <v>19</v>
      </c>
      <c r="J46" s="66"/>
      <c r="K46" s="66">
        <f>K44*K45</f>
        <v>6336</v>
      </c>
      <c r="L46" s="66" t="s">
        <v>20</v>
      </c>
      <c r="N46" s="66">
        <f>N44*N45</f>
        <v>3520</v>
      </c>
      <c r="O46" s="66" t="s">
        <v>20</v>
      </c>
    </row>
    <row r="47" spans="3:21" x14ac:dyDescent="0.25">
      <c r="H47" s="66">
        <f>H44*H45*H46</f>
        <v>40960</v>
      </c>
      <c r="I47" s="66" t="s">
        <v>24</v>
      </c>
      <c r="J47" s="66"/>
      <c r="K47" s="66">
        <v>8192</v>
      </c>
      <c r="L47" s="66" t="s">
        <v>22</v>
      </c>
      <c r="N47" s="66">
        <v>8192</v>
      </c>
      <c r="O47" s="66" t="s">
        <v>22</v>
      </c>
    </row>
    <row r="48" spans="3:21" x14ac:dyDescent="0.25">
      <c r="H48" s="66">
        <v>8192</v>
      </c>
      <c r="I48" s="66" t="s">
        <v>22</v>
      </c>
      <c r="J48" s="66"/>
      <c r="K48" s="67">
        <f>K46/K47</f>
        <v>0.7734375</v>
      </c>
      <c r="L48" s="66" t="s">
        <v>26</v>
      </c>
      <c r="N48" s="67">
        <f>N46/N47</f>
        <v>0.4296875</v>
      </c>
      <c r="O48" s="66" t="s">
        <v>26</v>
      </c>
    </row>
    <row r="49" spans="8:15" x14ac:dyDescent="0.25">
      <c r="H49" s="67">
        <f>H47/H48</f>
        <v>5</v>
      </c>
      <c r="I49" s="66" t="s">
        <v>26</v>
      </c>
      <c r="J49" s="66"/>
      <c r="K49" s="68">
        <f>ROUNDUP(K48,0)</f>
        <v>1</v>
      </c>
      <c r="L49" s="66" t="s">
        <v>26</v>
      </c>
      <c r="N49" s="68">
        <f>ROUNDUP(N48,0)</f>
        <v>1</v>
      </c>
      <c r="O49" s="66" t="s">
        <v>26</v>
      </c>
    </row>
    <row r="50" spans="8:15" x14ac:dyDescent="0.25">
      <c r="K50" s="68">
        <f>ROUNDUP(K49,0)</f>
        <v>1</v>
      </c>
      <c r="L50" s="66" t="s">
        <v>26</v>
      </c>
      <c r="M50" s="66"/>
      <c r="N50" s="66"/>
      <c r="O50" s="6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sdo</dc:creator>
  <cp:lastModifiedBy>sdo</cp:lastModifiedBy>
  <dcterms:created xsi:type="dcterms:W3CDTF">2026-02-04T06:55:37Z</dcterms:created>
  <dcterms:modified xsi:type="dcterms:W3CDTF">2026-10-18T01:38:43Z</dcterms:modified>
</cp:coreProperties>
</file>